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kelol\Projects\ampere_project\internal_docs\budget_generation\"/>
    </mc:Choice>
  </mc:AlternateContent>
  <xr:revisionPtr revIDLastSave="0" documentId="13_ncr:1_{1F19C022-6772-4325-838B-1386F331B9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0" i="2" s="1"/>
  <c r="B11" i="2" s="1"/>
  <c r="B12" i="2" s="1"/>
  <c r="B13" i="2" s="1"/>
  <c r="B14" i="2" s="1"/>
  <c r="A9" i="2"/>
  <c r="A10" i="2" s="1"/>
  <c r="B8" i="2"/>
  <c r="A8" i="2"/>
  <c r="C8" i="2" s="1"/>
  <c r="C7" i="2"/>
  <c r="C6" i="2"/>
  <c r="C5" i="2"/>
  <c r="C4" i="2"/>
  <c r="C3" i="2"/>
  <c r="C2" i="2"/>
  <c r="G14" i="1"/>
  <c r="G13" i="1"/>
  <c r="G12" i="1"/>
  <c r="G11" i="1"/>
  <c r="G10" i="1"/>
  <c r="G9" i="1"/>
  <c r="G8" i="1"/>
  <c r="G7" i="1"/>
  <c r="G6" i="1"/>
  <c r="G5" i="1"/>
  <c r="G4" i="1"/>
  <c r="G3" i="1"/>
  <c r="G2" i="1"/>
  <c r="F9" i="1"/>
  <c r="F10" i="1" s="1"/>
  <c r="F11" i="1" s="1"/>
  <c r="F12" i="1" s="1"/>
  <c r="F13" i="1" s="1"/>
  <c r="F14" i="1" s="1"/>
  <c r="F8" i="1"/>
  <c r="D7" i="1"/>
  <c r="D6" i="1"/>
  <c r="D5" i="1"/>
  <c r="D4" i="1"/>
  <c r="D3" i="1"/>
  <c r="D2" i="1"/>
  <c r="E8" i="1"/>
  <c r="E9" i="1" s="1"/>
  <c r="E10" i="1" s="1"/>
  <c r="E11" i="1" s="1"/>
  <c r="E12" i="1" s="1"/>
  <c r="E13" i="1" s="1"/>
  <c r="E14" i="1" s="1"/>
  <c r="C10" i="2" l="1"/>
  <c r="A11" i="2"/>
  <c r="C9" i="2"/>
  <c r="A12" i="2" l="1"/>
  <c r="C11" i="2"/>
  <c r="C12" i="2" l="1"/>
  <c r="A13" i="2"/>
  <c r="A14" i="2" l="1"/>
  <c r="C14" i="2" s="1"/>
  <c r="C13" i="2"/>
</calcChain>
</file>

<file path=xl/sharedStrings.xml><?xml version="1.0" encoding="utf-8"?>
<sst xmlns="http://schemas.openxmlformats.org/spreadsheetml/2006/main" count="11" uniqueCount="7">
  <si>
    <t>orders_fact</t>
  </si>
  <si>
    <t>month</t>
  </si>
  <si>
    <t>orders_budget</t>
  </si>
  <si>
    <t>select
    date_trunc('month', order_date)::date as order_month,
    count(*) as orders_count
from "source".orders
group by date_trunc('month', order_date)::date
order by order_month asc;
select order_date, count(*) from "source".orders
group by order_date
order by order_date ASC</t>
  </si>
  <si>
    <t>sales_amount</t>
  </si>
  <si>
    <t>avg_order_value</t>
  </si>
  <si>
    <t>avg_order_value_budget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</si>
</sst>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selection activeCell="G2" sqref="G2"/>
    </sheetView>
  </sheetViews>
  <sheetFormatPr defaultRowHeight="14.4" x14ac:dyDescent="0.3"/>
  <cols>
    <col min="1" max="1" width="9.5546875" bestFit="1" customWidth="1"/>
    <col min="2" max="2" width="10.109375" bestFit="1" customWidth="1"/>
    <col min="3" max="3" width="12.33203125" bestFit="1" customWidth="1"/>
    <col min="4" max="4" width="12.33203125" customWidth="1"/>
    <col min="5" max="5" width="10" bestFit="1" customWidth="1"/>
    <col min="7" max="7" width="13.5546875" bestFit="1" customWidth="1"/>
  </cols>
  <sheetData>
    <row r="1" spans="1:11" x14ac:dyDescent="0.3">
      <c r="A1" t="s">
        <v>1</v>
      </c>
      <c r="B1" t="s">
        <v>0</v>
      </c>
      <c r="C1" t="s">
        <v>4</v>
      </c>
      <c r="D1" t="s">
        <v>5</v>
      </c>
      <c r="E1" t="s">
        <v>2</v>
      </c>
      <c r="F1" t="s">
        <v>6</v>
      </c>
      <c r="G1" t="s">
        <v>4</v>
      </c>
      <c r="K1" t="s">
        <v>3</v>
      </c>
    </row>
    <row r="2" spans="1:11" x14ac:dyDescent="0.3">
      <c r="A2" s="1">
        <v>45992</v>
      </c>
      <c r="B2" s="3">
        <v>85861</v>
      </c>
      <c r="C2" s="3">
        <v>13361200.310000001</v>
      </c>
      <c r="D2" s="2">
        <f>C2/B2</f>
        <v>155.61431045527073</v>
      </c>
      <c r="E2" s="3">
        <v>80000</v>
      </c>
      <c r="F2" s="2">
        <v>155</v>
      </c>
      <c r="G2" s="3">
        <f>E2*F2</f>
        <v>12400000</v>
      </c>
    </row>
    <row r="3" spans="1:11" x14ac:dyDescent="0.3">
      <c r="A3" s="1">
        <v>46023</v>
      </c>
      <c r="B3" s="3">
        <v>195826</v>
      </c>
      <c r="C3" s="3">
        <v>30510709.510000002</v>
      </c>
      <c r="D3" s="2">
        <f t="shared" ref="D3:D7" si="0">C3/B3</f>
        <v>155.80520211820698</v>
      </c>
      <c r="E3" s="3">
        <v>175000</v>
      </c>
      <c r="F3" s="2">
        <v>156</v>
      </c>
      <c r="G3" s="3">
        <f t="shared" ref="G3:G14" si="1">E3*F3</f>
        <v>27300000</v>
      </c>
    </row>
    <row r="4" spans="1:11" x14ac:dyDescent="0.3">
      <c r="A4" s="1">
        <v>46054</v>
      </c>
      <c r="B4" s="3">
        <v>216933</v>
      </c>
      <c r="C4" s="3">
        <v>33872772.259999998</v>
      </c>
      <c r="D4" s="2">
        <f t="shared" si="0"/>
        <v>156.14393503985102</v>
      </c>
      <c r="E4" s="3">
        <v>225000</v>
      </c>
      <c r="F4" s="2">
        <v>155.5</v>
      </c>
      <c r="G4" s="3">
        <f t="shared" si="1"/>
        <v>34987500</v>
      </c>
    </row>
    <row r="5" spans="1:11" x14ac:dyDescent="0.3">
      <c r="A5" s="1">
        <v>46082</v>
      </c>
      <c r="B5" s="3">
        <v>293062</v>
      </c>
      <c r="C5" s="3">
        <v>45673793.609999999</v>
      </c>
      <c r="D5" s="2">
        <f t="shared" si="0"/>
        <v>155.85027608492402</v>
      </c>
      <c r="E5" s="3">
        <v>300000</v>
      </c>
      <c r="F5" s="2">
        <v>156</v>
      </c>
      <c r="G5" s="3">
        <f t="shared" si="1"/>
        <v>46800000</v>
      </c>
    </row>
    <row r="6" spans="1:11" x14ac:dyDescent="0.3">
      <c r="A6" s="1">
        <v>46113</v>
      </c>
      <c r="B6" s="3">
        <v>426862</v>
      </c>
      <c r="C6" s="3">
        <v>66486138.5</v>
      </c>
      <c r="D6" s="2">
        <f t="shared" si="0"/>
        <v>155.75558025778824</v>
      </c>
      <c r="E6" s="3">
        <v>400000</v>
      </c>
      <c r="F6" s="2">
        <v>155.5</v>
      </c>
      <c r="G6" s="3">
        <f t="shared" si="1"/>
        <v>62200000</v>
      </c>
    </row>
    <row r="7" spans="1:11" x14ac:dyDescent="0.3">
      <c r="A7" s="1">
        <v>46143</v>
      </c>
      <c r="B7" s="3">
        <v>25432</v>
      </c>
      <c r="C7" s="3">
        <v>4013784</v>
      </c>
      <c r="D7" s="2">
        <f t="shared" si="0"/>
        <v>157.82415854042151</v>
      </c>
      <c r="E7" s="3">
        <v>470000</v>
      </c>
      <c r="F7" s="2">
        <v>156</v>
      </c>
      <c r="G7" s="3">
        <f t="shared" si="1"/>
        <v>73320000</v>
      </c>
    </row>
    <row r="8" spans="1:11" x14ac:dyDescent="0.3">
      <c r="A8" s="1">
        <v>46174</v>
      </c>
      <c r="B8" s="3"/>
      <c r="C8" s="3"/>
      <c r="D8" s="3"/>
      <c r="E8" s="3">
        <f>E7+30000</f>
        <v>500000</v>
      </c>
      <c r="F8" s="2">
        <f>F7*1.00125</f>
        <v>156.19499999999999</v>
      </c>
      <c r="G8" s="3">
        <f t="shared" si="1"/>
        <v>78097500</v>
      </c>
    </row>
    <row r="9" spans="1:11" x14ac:dyDescent="0.3">
      <c r="A9" s="1">
        <v>46204</v>
      </c>
      <c r="B9" s="3"/>
      <c r="C9" s="3"/>
      <c r="D9" s="3"/>
      <c r="E9" s="3">
        <f>E8+50000</f>
        <v>550000</v>
      </c>
      <c r="F9" s="2">
        <f t="shared" ref="F9:F14" si="2">F8*1.00125</f>
        <v>156.39024375</v>
      </c>
      <c r="G9" s="3">
        <f t="shared" si="1"/>
        <v>86014634.0625</v>
      </c>
      <c r="J9" s="1"/>
    </row>
    <row r="10" spans="1:11" x14ac:dyDescent="0.3">
      <c r="A10" s="1">
        <v>46235</v>
      </c>
      <c r="B10" s="3"/>
      <c r="C10" s="3"/>
      <c r="D10" s="3"/>
      <c r="E10" s="3">
        <f t="shared" ref="E10:E14" si="3">E9+50000</f>
        <v>600000</v>
      </c>
      <c r="F10" s="2">
        <f t="shared" si="2"/>
        <v>156.5857315546875</v>
      </c>
      <c r="G10" s="3">
        <f t="shared" si="1"/>
        <v>93951438.932812497</v>
      </c>
      <c r="J10" s="1"/>
    </row>
    <row r="11" spans="1:11" x14ac:dyDescent="0.3">
      <c r="A11" s="1">
        <v>46266</v>
      </c>
      <c r="B11" s="3"/>
      <c r="C11" s="3"/>
      <c r="D11" s="3"/>
      <c r="E11" s="3">
        <f t="shared" si="3"/>
        <v>650000</v>
      </c>
      <c r="F11" s="2">
        <f t="shared" si="2"/>
        <v>156.78146371913084</v>
      </c>
      <c r="G11" s="3">
        <f t="shared" si="1"/>
        <v>101907951.41743505</v>
      </c>
      <c r="J11" s="1"/>
    </row>
    <row r="12" spans="1:11" x14ac:dyDescent="0.3">
      <c r="A12" s="1">
        <v>46296</v>
      </c>
      <c r="B12" s="3"/>
      <c r="C12" s="3"/>
      <c r="D12" s="3"/>
      <c r="E12" s="3">
        <f t="shared" si="3"/>
        <v>700000</v>
      </c>
      <c r="F12" s="2">
        <f t="shared" si="2"/>
        <v>156.97744054877975</v>
      </c>
      <c r="G12" s="3">
        <f t="shared" si="1"/>
        <v>109884208.38414583</v>
      </c>
      <c r="J12" s="1"/>
    </row>
    <row r="13" spans="1:11" x14ac:dyDescent="0.3">
      <c r="A13" s="1">
        <v>46327</v>
      </c>
      <c r="B13" s="3"/>
      <c r="C13" s="3"/>
      <c r="D13" s="3"/>
      <c r="E13" s="3">
        <f t="shared" si="3"/>
        <v>750000</v>
      </c>
      <c r="F13" s="2">
        <f t="shared" si="2"/>
        <v>157.17366234946573</v>
      </c>
      <c r="G13" s="3">
        <f t="shared" si="1"/>
        <v>117880246.7620993</v>
      </c>
      <c r="J13" s="1"/>
    </row>
    <row r="14" spans="1:11" x14ac:dyDescent="0.3">
      <c r="A14" s="1">
        <v>46357</v>
      </c>
      <c r="B14" s="3"/>
      <c r="C14" s="3"/>
      <c r="D14" s="3"/>
      <c r="E14" s="3">
        <f t="shared" si="3"/>
        <v>800000</v>
      </c>
      <c r="F14" s="2">
        <f t="shared" si="2"/>
        <v>157.37012942740256</v>
      </c>
      <c r="G14" s="3">
        <f t="shared" si="1"/>
        <v>125896103.54192205</v>
      </c>
      <c r="J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0293-9A62-44F6-BC03-54767A356C91}">
  <dimension ref="A1:C14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2</v>
      </c>
      <c r="B1" t="s">
        <v>6</v>
      </c>
      <c r="C1" t="s">
        <v>4</v>
      </c>
    </row>
    <row r="2" spans="1:3" x14ac:dyDescent="0.3">
      <c r="A2" s="3">
        <v>80000</v>
      </c>
      <c r="B2" s="2">
        <v>155</v>
      </c>
      <c r="C2" s="3">
        <f>A2*B2</f>
        <v>12400000</v>
      </c>
    </row>
    <row r="3" spans="1:3" x14ac:dyDescent="0.3">
      <c r="A3" s="3">
        <v>175000</v>
      </c>
      <c r="B3" s="2">
        <v>156</v>
      </c>
      <c r="C3" s="3">
        <f t="shared" ref="C3:C14" si="0">A3*B3</f>
        <v>27300000</v>
      </c>
    </row>
    <row r="4" spans="1:3" x14ac:dyDescent="0.3">
      <c r="A4" s="3">
        <v>225000</v>
      </c>
      <c r="B4" s="2">
        <v>155.5</v>
      </c>
      <c r="C4" s="3">
        <f t="shared" si="0"/>
        <v>34987500</v>
      </c>
    </row>
    <row r="5" spans="1:3" x14ac:dyDescent="0.3">
      <c r="A5" s="3">
        <v>300000</v>
      </c>
      <c r="B5" s="2">
        <v>156</v>
      </c>
      <c r="C5" s="3">
        <f t="shared" si="0"/>
        <v>46800000</v>
      </c>
    </row>
    <row r="6" spans="1:3" x14ac:dyDescent="0.3">
      <c r="A6" s="3">
        <v>400000</v>
      </c>
      <c r="B6" s="2">
        <v>155.5</v>
      </c>
      <c r="C6" s="3">
        <f t="shared" si="0"/>
        <v>62200000</v>
      </c>
    </row>
    <row r="7" spans="1:3" x14ac:dyDescent="0.3">
      <c r="A7" s="3">
        <v>470000</v>
      </c>
      <c r="B7" s="2">
        <v>156</v>
      </c>
      <c r="C7" s="3">
        <f t="shared" si="0"/>
        <v>73320000</v>
      </c>
    </row>
    <row r="8" spans="1:3" x14ac:dyDescent="0.3">
      <c r="A8" s="3">
        <f>A7+30000</f>
        <v>500000</v>
      </c>
      <c r="B8" s="2">
        <f>B7*1.00125</f>
        <v>156.19499999999999</v>
      </c>
      <c r="C8" s="3">
        <f t="shared" si="0"/>
        <v>78097500</v>
      </c>
    </row>
    <row r="9" spans="1:3" x14ac:dyDescent="0.3">
      <c r="A9" s="3">
        <f>A8+50000</f>
        <v>550000</v>
      </c>
      <c r="B9" s="2">
        <f t="shared" ref="B9:B14" si="1">B8*1.00125</f>
        <v>156.39024375</v>
      </c>
      <c r="C9" s="3">
        <f t="shared" si="0"/>
        <v>86014634.0625</v>
      </c>
    </row>
    <row r="10" spans="1:3" x14ac:dyDescent="0.3">
      <c r="A10" s="3">
        <f t="shared" ref="A10:A14" si="2">A9+50000</f>
        <v>600000</v>
      </c>
      <c r="B10" s="2">
        <f t="shared" si="1"/>
        <v>156.5857315546875</v>
      </c>
      <c r="C10" s="3">
        <f t="shared" si="0"/>
        <v>93951438.932812497</v>
      </c>
    </row>
    <row r="11" spans="1:3" x14ac:dyDescent="0.3">
      <c r="A11" s="3">
        <f t="shared" si="2"/>
        <v>650000</v>
      </c>
      <c r="B11" s="2">
        <f t="shared" si="1"/>
        <v>156.78146371913084</v>
      </c>
      <c r="C11" s="3">
        <f t="shared" si="0"/>
        <v>101907951.41743505</v>
      </c>
    </row>
    <row r="12" spans="1:3" x14ac:dyDescent="0.3">
      <c r="A12" s="3">
        <f t="shared" si="2"/>
        <v>700000</v>
      </c>
      <c r="B12" s="2">
        <f t="shared" si="1"/>
        <v>156.97744054877975</v>
      </c>
      <c r="C12" s="3">
        <f t="shared" si="0"/>
        <v>109884208.38414583</v>
      </c>
    </row>
    <row r="13" spans="1:3" x14ac:dyDescent="0.3">
      <c r="A13" s="3">
        <f t="shared" si="2"/>
        <v>750000</v>
      </c>
      <c r="B13" s="2">
        <f t="shared" si="1"/>
        <v>157.17366234946573</v>
      </c>
      <c r="C13" s="3">
        <f t="shared" si="0"/>
        <v>117880246.7620993</v>
      </c>
    </row>
    <row r="14" spans="1:3" x14ac:dyDescent="0.3">
      <c r="A14" s="3">
        <f t="shared" si="2"/>
        <v>800000</v>
      </c>
      <c r="B14" s="2">
        <f t="shared" si="1"/>
        <v>157.37012942740256</v>
      </c>
      <c r="C14" s="3">
        <f t="shared" si="0"/>
        <v>125896103.54192205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 Minyazev</cp:lastModifiedBy>
  <dcterms:created xsi:type="dcterms:W3CDTF">2015-06-05T18:17:20Z</dcterms:created>
  <dcterms:modified xsi:type="dcterms:W3CDTF">2026-05-02T18:00:47Z</dcterms:modified>
</cp:coreProperties>
</file>